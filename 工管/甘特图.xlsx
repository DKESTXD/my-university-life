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新建文件夹 (5)\"/>
    </mc:Choice>
  </mc:AlternateContent>
  <xr:revisionPtr revIDLastSave="0" documentId="13_ncr:1_{384C2ACE-C264-4FB4-AE65-FA1E11FAEA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</calcChain>
</file>

<file path=xl/sharedStrings.xml><?xml version="1.0" encoding="utf-8"?>
<sst xmlns="http://schemas.openxmlformats.org/spreadsheetml/2006/main" count="140" uniqueCount="87">
  <si>
    <t>工作包编号</t>
  </si>
  <si>
    <t>工作包名称</t>
  </si>
  <si>
    <t>负责人</t>
  </si>
  <si>
    <t>时间估计(天)</t>
  </si>
  <si>
    <t>前置任务</t>
  </si>
  <si>
    <t>项目经理</t>
  </si>
  <si>
    <t>-</t>
  </si>
  <si>
    <t>1.1.1</t>
  </si>
  <si>
    <t>主题与议题设计</t>
  </si>
  <si>
    <t>策划负责人</t>
  </si>
  <si>
    <t>1.1.2</t>
  </si>
  <si>
    <t>日程编排</t>
  </si>
  <si>
    <t>1.1.3</t>
  </si>
  <si>
    <t>议程文档编写</t>
  </si>
  <si>
    <t>嘉宾协调员</t>
  </si>
  <si>
    <t>1.2.1</t>
  </si>
  <si>
    <t>嘉宾名单确定</t>
  </si>
  <si>
    <t>1.2.2</t>
  </si>
  <si>
    <t>嘉宾邀请与确认</t>
  </si>
  <si>
    <t>1.2.3</t>
  </si>
  <si>
    <t>嘉宾行程安排</t>
  </si>
  <si>
    <t>1.2.4</t>
  </si>
  <si>
    <t>嘉宾费用支付</t>
  </si>
  <si>
    <t>财务负责人</t>
  </si>
  <si>
    <t>宣传负责人</t>
  </si>
  <si>
    <t>1.3.1</t>
  </si>
  <si>
    <t>宣传材料策划与设计</t>
  </si>
  <si>
    <t>1.3.2</t>
  </si>
  <si>
    <t>宣传渠道确定</t>
  </si>
  <si>
    <t>1.3.3</t>
  </si>
  <si>
    <t>宣传材料投放</t>
  </si>
  <si>
    <t>1.3.4</t>
  </si>
  <si>
    <t>报名管理</t>
  </si>
  <si>
    <t>技术负责人</t>
  </si>
  <si>
    <t>1.4.1</t>
  </si>
  <si>
    <t>线上平台选择与采购</t>
  </si>
  <si>
    <t>1.4.2</t>
  </si>
  <si>
    <t>线上平台搭建与测试</t>
  </si>
  <si>
    <t>1.4.3</t>
  </si>
  <si>
    <t>线下场地租赁</t>
  </si>
  <si>
    <t>活动负责人</t>
  </si>
  <si>
    <t>1.4.4</t>
  </si>
  <si>
    <t>线下场地布置规划</t>
  </si>
  <si>
    <t>1.4.5</t>
  </si>
  <si>
    <t>设备租赁与调试</t>
  </si>
  <si>
    <t>1.5.1</t>
  </si>
  <si>
    <t>技术展示企业招募</t>
  </si>
  <si>
    <t>1.5.2</t>
  </si>
  <si>
    <t>学生项目征集与选拔</t>
  </si>
  <si>
    <t>1.5.3</t>
  </si>
  <si>
    <t>展示与交流活动流程设计</t>
  </si>
  <si>
    <t>1.5.1, 1.5.2</t>
  </si>
  <si>
    <t>1.6.1</t>
  </si>
  <si>
    <t>现场注册与接待</t>
  </si>
  <si>
    <t>1.3.4, 1.4.2, 1.4.5, 1.5.3</t>
  </si>
  <si>
    <t>1.6.2</t>
  </si>
  <si>
    <t>开幕式主持</t>
  </si>
  <si>
    <t>主持人</t>
  </si>
  <si>
    <t>1.6.3</t>
  </si>
  <si>
    <t>主题演讲管理</t>
  </si>
  <si>
    <t>1.6.4</t>
  </si>
  <si>
    <t>分论坛协调</t>
  </si>
  <si>
    <t>分论坛负责人</t>
  </si>
  <si>
    <t>1.6.5</t>
  </si>
  <si>
    <t>技术展示区管理</t>
  </si>
  <si>
    <t>1.6.6</t>
  </si>
  <si>
    <t>学生交流活动协调</t>
  </si>
  <si>
    <t>1.6.7</t>
  </si>
  <si>
    <t>闭幕式主持</t>
  </si>
  <si>
    <t>1.7.1</t>
  </si>
  <si>
    <t>论坛纪要编写</t>
  </si>
  <si>
    <t>1.7.2</t>
  </si>
  <si>
    <t>合作意向汇总报告</t>
  </si>
  <si>
    <t>1.7.3</t>
  </si>
  <si>
    <t>活动总结报告</t>
  </si>
  <si>
    <t>1.7.1, 1.7.2</t>
  </si>
  <si>
    <t>1.7.4</t>
  </si>
  <si>
    <t>预算执行报告</t>
  </si>
  <si>
    <t>1.7.5</t>
  </si>
  <si>
    <t>应急报告编写</t>
  </si>
  <si>
    <t>1.8.1</t>
  </si>
  <si>
    <t>预算制定</t>
  </si>
  <si>
    <t>1.8.2</t>
  </si>
  <si>
    <t>应急资金管理</t>
  </si>
  <si>
    <t>开始时间</t>
    <phoneticPr fontId="1" type="noConversion"/>
  </si>
  <si>
    <t>已完成天数</t>
    <phoneticPr fontId="1" type="noConversion"/>
  </si>
  <si>
    <t>未完成天数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</si>
</sst>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b/>
      <sz val="10.5"/>
      <color rgb="FFFFFFFF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769F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76453B"/>
      </left>
      <right style="dotted">
        <color rgb="FF76453B"/>
      </right>
      <top style="medium">
        <color rgb="FF76453B"/>
      </top>
      <bottom style="medium">
        <color rgb="FF76453B"/>
      </bottom>
      <diagonal/>
    </border>
    <border>
      <left/>
      <right style="dotted">
        <color rgb="FF76453B"/>
      </right>
      <top style="medium">
        <color rgb="FF76453B"/>
      </top>
      <bottom style="medium">
        <color rgb="FF76453B"/>
      </bottom>
      <diagonal/>
    </border>
    <border>
      <left/>
      <right style="medium">
        <color rgb="FF76453B"/>
      </right>
      <top style="medium">
        <color rgb="FF76453B"/>
      </top>
      <bottom style="medium">
        <color rgb="FF76453B"/>
      </bottom>
      <diagonal/>
    </border>
    <border>
      <left style="medium">
        <color rgb="FF76453B"/>
      </left>
      <right style="dotted">
        <color rgb="FF76453B"/>
      </right>
      <top/>
      <bottom style="dotted">
        <color rgb="FF76453B"/>
      </bottom>
      <diagonal/>
    </border>
    <border>
      <left/>
      <right style="dotted">
        <color rgb="FF76453B"/>
      </right>
      <top/>
      <bottom style="dotted">
        <color rgb="FF76453B"/>
      </bottom>
      <diagonal/>
    </border>
    <border>
      <left/>
      <right style="medium">
        <color rgb="FF76453B"/>
      </right>
      <top/>
      <bottom style="dotted">
        <color rgb="FF76453B"/>
      </bottom>
      <diagonal/>
    </border>
    <border>
      <left style="medium">
        <color rgb="FF76453B"/>
      </left>
      <right style="dotted">
        <color rgb="FF76453B"/>
      </right>
      <top/>
      <bottom style="medium">
        <color rgb="FF76453B"/>
      </bottom>
      <diagonal/>
    </border>
    <border>
      <left/>
      <right style="dotted">
        <color rgb="FF76453B"/>
      </right>
      <top/>
      <bottom style="medium">
        <color rgb="FF76453B"/>
      </bottom>
      <diagonal/>
    </border>
    <border>
      <left/>
      <right style="medium">
        <color rgb="FF76453B"/>
      </right>
      <top/>
      <bottom style="medium">
        <color rgb="FF76453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justify" vertical="center"/>
    </xf>
    <xf numFmtId="0" fontId="4" fillId="2" borderId="1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3" borderId="7" xfId="0" applyFont="1" applyFill="1" applyBorder="1" applyAlignment="1">
      <alignment horizontal="justify" vertical="center" wrapText="1"/>
    </xf>
    <xf numFmtId="0" fontId="3" fillId="3" borderId="8" xfId="0" applyFont="1" applyFill="1" applyBorder="1" applyAlignment="1">
      <alignment horizontal="justify" vertical="center" wrapText="1"/>
    </xf>
    <xf numFmtId="0" fontId="3" fillId="3" borderId="9" xfId="0" applyFont="1" applyFill="1" applyBorder="1" applyAlignment="1">
      <alignment horizontal="justify" vertical="center" wrapText="1"/>
    </xf>
    <xf numFmtId="14" fontId="0" fillId="0" borderId="0" xfId="0" applyNumberFormat="1"/>
    <xf numFmtId="14" fontId="3" fillId="0" borderId="0" xfId="0" applyNumberFormat="1" applyFont="1" applyAlignment="1">
      <alignment horizontal="justify" vertical="center" wrapText="1"/>
    </xf>
    <xf numFmtId="14" fontId="4" fillId="2" borderId="0" xfId="0" applyNumberFormat="1" applyFont="1" applyFill="1" applyAlignment="1">
      <alignment horizontal="justify" vertical="center" wrapText="1"/>
    </xf>
    <xf numFmtId="0" fontId="4" fillId="2" borderId="0" xfId="0" applyFont="1" applyFill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开始时间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Sheet1!$B$3:$B$35</c:f>
              <c:strCache>
                <c:ptCount val="33"/>
                <c:pt idx="0">
                  <c:v>主题与议题设计</c:v>
                </c:pt>
                <c:pt idx="1">
                  <c:v>日程编排</c:v>
                </c:pt>
                <c:pt idx="2">
                  <c:v>议程文档编写</c:v>
                </c:pt>
                <c:pt idx="3">
                  <c:v>嘉宾名单确定</c:v>
                </c:pt>
                <c:pt idx="4">
                  <c:v>嘉宾邀请与确认</c:v>
                </c:pt>
                <c:pt idx="5">
                  <c:v>嘉宾行程安排</c:v>
                </c:pt>
                <c:pt idx="6">
                  <c:v>嘉宾费用支付</c:v>
                </c:pt>
                <c:pt idx="7">
                  <c:v>宣传材料策划与设计</c:v>
                </c:pt>
                <c:pt idx="8">
                  <c:v>宣传渠道确定</c:v>
                </c:pt>
                <c:pt idx="9">
                  <c:v>宣传材料投放</c:v>
                </c:pt>
                <c:pt idx="10">
                  <c:v>报名管理</c:v>
                </c:pt>
                <c:pt idx="11">
                  <c:v>线上平台选择与采购</c:v>
                </c:pt>
                <c:pt idx="12">
                  <c:v>线上平台搭建与测试</c:v>
                </c:pt>
                <c:pt idx="13">
                  <c:v>线下场地租赁</c:v>
                </c:pt>
                <c:pt idx="14">
                  <c:v>线下场地布置规划</c:v>
                </c:pt>
                <c:pt idx="15">
                  <c:v>设备租赁与调试</c:v>
                </c:pt>
                <c:pt idx="16">
                  <c:v>技术展示企业招募</c:v>
                </c:pt>
                <c:pt idx="17">
                  <c:v>学生项目征集与选拔</c:v>
                </c:pt>
                <c:pt idx="18">
                  <c:v>展示与交流活动流程设计</c:v>
                </c:pt>
                <c:pt idx="19">
                  <c:v>现场注册与接待</c:v>
                </c:pt>
                <c:pt idx="20">
                  <c:v>开幕式主持</c:v>
                </c:pt>
                <c:pt idx="21">
                  <c:v>主题演讲管理</c:v>
                </c:pt>
                <c:pt idx="22">
                  <c:v>分论坛协调</c:v>
                </c:pt>
                <c:pt idx="23">
                  <c:v>技术展示区管理</c:v>
                </c:pt>
                <c:pt idx="24">
                  <c:v>学生交流活动协调</c:v>
                </c:pt>
                <c:pt idx="25">
                  <c:v>闭幕式主持</c:v>
                </c:pt>
                <c:pt idx="26">
                  <c:v>论坛纪要编写</c:v>
                </c:pt>
                <c:pt idx="27">
                  <c:v>合作意向汇总报告</c:v>
                </c:pt>
                <c:pt idx="28">
                  <c:v>活动总结报告</c:v>
                </c:pt>
                <c:pt idx="29">
                  <c:v>预算执行报告</c:v>
                </c:pt>
                <c:pt idx="30">
                  <c:v>应急报告编写</c:v>
                </c:pt>
                <c:pt idx="31">
                  <c:v>预算制定</c:v>
                </c:pt>
                <c:pt idx="32">
                  <c:v>应急资金管理</c:v>
                </c:pt>
              </c:strCache>
            </c:strRef>
          </c:cat>
          <c:val>
            <c:numRef>
              <c:f>Sheet1!$F$3:$F$35</c:f>
              <c:numCache>
                <c:formatCode>m/d/yyyy</c:formatCode>
                <c:ptCount val="33"/>
                <c:pt idx="0">
                  <c:v>45566</c:v>
                </c:pt>
                <c:pt idx="1">
                  <c:v>45572</c:v>
                </c:pt>
                <c:pt idx="2">
                  <c:v>45576</c:v>
                </c:pt>
                <c:pt idx="3">
                  <c:v>45572</c:v>
                </c:pt>
                <c:pt idx="4">
                  <c:v>45576</c:v>
                </c:pt>
                <c:pt idx="5">
                  <c:v>45585</c:v>
                </c:pt>
                <c:pt idx="6">
                  <c:v>45585</c:v>
                </c:pt>
                <c:pt idx="7">
                  <c:v>45572</c:v>
                </c:pt>
                <c:pt idx="8">
                  <c:v>45578</c:v>
                </c:pt>
                <c:pt idx="9">
                  <c:v>45580</c:v>
                </c:pt>
                <c:pt idx="10">
                  <c:v>45593</c:v>
                </c:pt>
                <c:pt idx="11">
                  <c:v>45566</c:v>
                </c:pt>
                <c:pt idx="12">
                  <c:v>45570</c:v>
                </c:pt>
                <c:pt idx="13">
                  <c:v>45566</c:v>
                </c:pt>
                <c:pt idx="14">
                  <c:v>45570</c:v>
                </c:pt>
                <c:pt idx="15">
                  <c:v>45572</c:v>
                </c:pt>
                <c:pt idx="16">
                  <c:v>45572</c:v>
                </c:pt>
                <c:pt idx="17">
                  <c:v>45572</c:v>
                </c:pt>
                <c:pt idx="18">
                  <c:v>45581</c:v>
                </c:pt>
                <c:pt idx="19">
                  <c:v>45602</c:v>
                </c:pt>
                <c:pt idx="20">
                  <c:v>45603</c:v>
                </c:pt>
                <c:pt idx="21">
                  <c:v>45604</c:v>
                </c:pt>
                <c:pt idx="22">
                  <c:v>45605</c:v>
                </c:pt>
                <c:pt idx="23">
                  <c:v>45606</c:v>
                </c:pt>
                <c:pt idx="24">
                  <c:v>45607</c:v>
                </c:pt>
                <c:pt idx="25">
                  <c:v>45608</c:v>
                </c:pt>
                <c:pt idx="26">
                  <c:v>45609</c:v>
                </c:pt>
                <c:pt idx="27">
                  <c:v>45609</c:v>
                </c:pt>
                <c:pt idx="28">
                  <c:v>45611</c:v>
                </c:pt>
                <c:pt idx="29">
                  <c:v>45609</c:v>
                </c:pt>
                <c:pt idx="30">
                  <c:v>45609</c:v>
                </c:pt>
                <c:pt idx="31">
                  <c:v>45572</c:v>
                </c:pt>
                <c:pt idx="32">
                  <c:v>45576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4-4A65-94F2-4B422EAA5DA2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已完成天数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34-4A65-94F2-4B422EAA5DA2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834-4A65-94F2-4B422EAA5DA2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834-4A65-94F2-4B422EAA5DA2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834-4A65-94F2-4B422EAA5DA2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834-4A65-94F2-4B422EAA5DA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3DB3A62-1AC5-4A39-8B24-ADAB3AE7FB31}" type="CELLREF">
                      <a:rPr lang="zh-CN" altLang="en-US"/>
                      <a:pPr/>
                      <a:t>[CELLREF]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{B3DB3A62-1AC5-4A39-8B24-ADAB3AE7FB31}</c15:txfldGUID>
                      <c15:f>Sheet1!$C$3</c15:f>
                      <c15:dlblFieldTableCache>
                        <c:ptCount val="1"/>
                        <c:pt idx="0">
                          <c:v>策划负责人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834-4A65-94F2-4B422EAA5DA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AB9FDF5-46E0-4E57-90D8-64683CD6A4FA}" type="CELLREF">
                      <a:rPr lang="zh-CN" altLang="en-US"/>
                      <a:pPr/>
                      <a:t>[CELLREF]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{9AB9FDF5-46E0-4E57-90D8-64683CD6A4FA}</c15:txfldGUID>
                      <c15:f>Sheet1!$C$4</c15:f>
                      <c15:dlblFieldTableCache>
                        <c:ptCount val="1"/>
                        <c:pt idx="0">
                          <c:v>策划负责人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2834-4A65-94F2-4B422EAA5DA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策划负责人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834-4A65-94F2-4B422EAA5DA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嘉宾协调员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834-4A65-94F2-4B422EAA5DA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嘉宾协调员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834-4A65-94F2-4B422EAA5DA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嘉宾协调员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834-4A65-94F2-4B422EAA5DA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财务负责人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834-4A65-94F2-4B422EAA5DA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宣传负责人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834-4A65-94F2-4B422EAA5DA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宣传负责人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834-4A65-94F2-4B422EAA5DA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宣传负责人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834-4A65-94F2-4B422EAA5DA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宣传负责人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834-4A65-94F2-4B422EAA5DA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技术负责人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834-4A65-94F2-4B422EAA5DA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技术负责人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834-4A65-94F2-4B422EAA5DA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活动负责人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834-4A65-94F2-4B422EAA5DA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活动负责人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2834-4A65-94F2-4B422EAA5DA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活动负责人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2834-4A65-94F2-4B422EAA5DA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活动负责人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2834-4A65-94F2-4B422EAA5DA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活动负责人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2834-4A65-94F2-4B422EAA5DA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活动负责人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2834-4A65-94F2-4B422EAA5DA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活动负责人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2834-4A65-94F2-4B422EAA5DA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主持人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2834-4A65-94F2-4B422EAA5DA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活动负责人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834-4A65-94F2-4B422EAA5DA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分论坛负责人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834-4A65-94F2-4B422EAA5DA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技术负责人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834-4A65-94F2-4B422EAA5DA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活动负责人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834-4A65-94F2-4B422EAA5DA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主持人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834-4A65-94F2-4B422EAA5DA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zh-CN" altLang="en-US"/>
                      <a:t>策划负责人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834-4A65-94F2-4B422EAA5DA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项目经理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834-4A65-94F2-4B422EAA5DA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项目经理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834-4A65-94F2-4B422EAA5DA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zh-CN" altLang="en-US" sz="900" b="0" i="0" u="none" strike="noStrike" baseline="0">
                        <a:effectLst/>
                      </a:rPr>
                      <a:t>财务负责人 </a:t>
                    </a:r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834-4A65-94F2-4B422EAA5DA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zh-CN" altLang="en-US"/>
                      <a:t>项目经</a:t>
                    </a:r>
                    <a:fld id="{3BB9C117-BCC3-4CDB-8E3D-22EEFDBABA8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6-2834-4A65-94F2-4B422EAA5DA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F1EF4B1-73B3-4CF2-94D4-31B599B74758}" type="VALUE">
                      <a:rPr lang="en-US" altLang="zh-CN"/>
                      <a:pPr/>
                      <a:t>[值]</a:t>
                    </a:fld>
                    <a:r>
                      <a:rPr lang="zh-CN" altLang="en-US" sz="900" b="0" i="0" u="none" strike="noStrike" baseline="0">
                        <a:effectLst/>
                      </a:rPr>
                      <a:t>财务负责人 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4-2834-4A65-94F2-4B422EAA5DA2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zh-CN" altLang="en-US"/>
                      <a:t>项目经理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834-4A65-94F2-4B422EAA5D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Sheet1!$B$3:$B$35</c:f>
              <c:strCache>
                <c:ptCount val="33"/>
                <c:pt idx="0">
                  <c:v>主题与议题设计</c:v>
                </c:pt>
                <c:pt idx="1">
                  <c:v>日程编排</c:v>
                </c:pt>
                <c:pt idx="2">
                  <c:v>议程文档编写</c:v>
                </c:pt>
                <c:pt idx="3">
                  <c:v>嘉宾名单确定</c:v>
                </c:pt>
                <c:pt idx="4">
                  <c:v>嘉宾邀请与确认</c:v>
                </c:pt>
                <c:pt idx="5">
                  <c:v>嘉宾行程安排</c:v>
                </c:pt>
                <c:pt idx="6">
                  <c:v>嘉宾费用支付</c:v>
                </c:pt>
                <c:pt idx="7">
                  <c:v>宣传材料策划与设计</c:v>
                </c:pt>
                <c:pt idx="8">
                  <c:v>宣传渠道确定</c:v>
                </c:pt>
                <c:pt idx="9">
                  <c:v>宣传材料投放</c:v>
                </c:pt>
                <c:pt idx="10">
                  <c:v>报名管理</c:v>
                </c:pt>
                <c:pt idx="11">
                  <c:v>线上平台选择与采购</c:v>
                </c:pt>
                <c:pt idx="12">
                  <c:v>线上平台搭建与测试</c:v>
                </c:pt>
                <c:pt idx="13">
                  <c:v>线下场地租赁</c:v>
                </c:pt>
                <c:pt idx="14">
                  <c:v>线下场地布置规划</c:v>
                </c:pt>
                <c:pt idx="15">
                  <c:v>设备租赁与调试</c:v>
                </c:pt>
                <c:pt idx="16">
                  <c:v>技术展示企业招募</c:v>
                </c:pt>
                <c:pt idx="17">
                  <c:v>学生项目征集与选拔</c:v>
                </c:pt>
                <c:pt idx="18">
                  <c:v>展示与交流活动流程设计</c:v>
                </c:pt>
                <c:pt idx="19">
                  <c:v>现场注册与接待</c:v>
                </c:pt>
                <c:pt idx="20">
                  <c:v>开幕式主持</c:v>
                </c:pt>
                <c:pt idx="21">
                  <c:v>主题演讲管理</c:v>
                </c:pt>
                <c:pt idx="22">
                  <c:v>分论坛协调</c:v>
                </c:pt>
                <c:pt idx="23">
                  <c:v>技术展示区管理</c:v>
                </c:pt>
                <c:pt idx="24">
                  <c:v>学生交流活动协调</c:v>
                </c:pt>
                <c:pt idx="25">
                  <c:v>闭幕式主持</c:v>
                </c:pt>
                <c:pt idx="26">
                  <c:v>论坛纪要编写</c:v>
                </c:pt>
                <c:pt idx="27">
                  <c:v>合作意向汇总报告</c:v>
                </c:pt>
                <c:pt idx="28">
                  <c:v>活动总结报告</c:v>
                </c:pt>
                <c:pt idx="29">
                  <c:v>预算执行报告</c:v>
                </c:pt>
                <c:pt idx="30">
                  <c:v>应急报告编写</c:v>
                </c:pt>
                <c:pt idx="31">
                  <c:v>预算制定</c:v>
                </c:pt>
                <c:pt idx="32">
                  <c:v>应急资金管理</c:v>
                </c:pt>
              </c:strCache>
            </c:strRef>
          </c:cat>
          <c:val>
            <c:numRef>
              <c:f>Sheet1!$G$3:$G$35</c:f>
              <c:numCache>
                <c:formatCode>General</c:formatCode>
                <c:ptCount val="33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7</c:v>
                </c:pt>
                <c:pt idx="6">
                  <c:v>2</c:v>
                </c:pt>
                <c:pt idx="7">
                  <c:v>7</c:v>
                </c:pt>
                <c:pt idx="8">
                  <c:v>3</c:v>
                </c:pt>
                <c:pt idx="9">
                  <c:v>14</c:v>
                </c:pt>
                <c:pt idx="10">
                  <c:v>4</c:v>
                </c:pt>
                <c:pt idx="11">
                  <c:v>5</c:v>
                </c:pt>
                <c:pt idx="12">
                  <c:v>7</c:v>
                </c:pt>
                <c:pt idx="13">
                  <c:v>5</c:v>
                </c:pt>
                <c:pt idx="14">
                  <c:v>3</c:v>
                </c:pt>
                <c:pt idx="15">
                  <c:v>5</c:v>
                </c:pt>
                <c:pt idx="16">
                  <c:v>10</c:v>
                </c:pt>
                <c:pt idx="17">
                  <c:v>10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4-4A65-94F2-4B422EAA5DA2}"/>
            </c:ext>
          </c:extLst>
        </c:ser>
        <c:ser>
          <c:idx val="2"/>
          <c:order val="2"/>
          <c:tx>
            <c:strRef>
              <c:f>Sheet1!$H$2</c:f>
              <c:strCache>
                <c:ptCount val="1"/>
                <c:pt idx="0">
                  <c:v>未完成天数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2834-4A65-94F2-4B422EAA5DA2}"/>
              </c:ext>
            </c:extLst>
          </c:dPt>
          <c:dPt>
            <c:idx val="29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2834-4A65-94F2-4B422EAA5DA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2834-4A65-94F2-4B422EAA5DA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2834-4A65-94F2-4B422EAA5DA2}"/>
              </c:ext>
            </c:extLst>
          </c:dPt>
          <c:cat>
            <c:strRef>
              <c:f>Sheet1!$B$3:$B$35</c:f>
              <c:strCache>
                <c:ptCount val="33"/>
                <c:pt idx="0">
                  <c:v>主题与议题设计</c:v>
                </c:pt>
                <c:pt idx="1">
                  <c:v>日程编排</c:v>
                </c:pt>
                <c:pt idx="2">
                  <c:v>议程文档编写</c:v>
                </c:pt>
                <c:pt idx="3">
                  <c:v>嘉宾名单确定</c:v>
                </c:pt>
                <c:pt idx="4">
                  <c:v>嘉宾邀请与确认</c:v>
                </c:pt>
                <c:pt idx="5">
                  <c:v>嘉宾行程安排</c:v>
                </c:pt>
                <c:pt idx="6">
                  <c:v>嘉宾费用支付</c:v>
                </c:pt>
                <c:pt idx="7">
                  <c:v>宣传材料策划与设计</c:v>
                </c:pt>
                <c:pt idx="8">
                  <c:v>宣传渠道确定</c:v>
                </c:pt>
                <c:pt idx="9">
                  <c:v>宣传材料投放</c:v>
                </c:pt>
                <c:pt idx="10">
                  <c:v>报名管理</c:v>
                </c:pt>
                <c:pt idx="11">
                  <c:v>线上平台选择与采购</c:v>
                </c:pt>
                <c:pt idx="12">
                  <c:v>线上平台搭建与测试</c:v>
                </c:pt>
                <c:pt idx="13">
                  <c:v>线下场地租赁</c:v>
                </c:pt>
                <c:pt idx="14">
                  <c:v>线下场地布置规划</c:v>
                </c:pt>
                <c:pt idx="15">
                  <c:v>设备租赁与调试</c:v>
                </c:pt>
                <c:pt idx="16">
                  <c:v>技术展示企业招募</c:v>
                </c:pt>
                <c:pt idx="17">
                  <c:v>学生项目征集与选拔</c:v>
                </c:pt>
                <c:pt idx="18">
                  <c:v>展示与交流活动流程设计</c:v>
                </c:pt>
                <c:pt idx="19">
                  <c:v>现场注册与接待</c:v>
                </c:pt>
                <c:pt idx="20">
                  <c:v>开幕式主持</c:v>
                </c:pt>
                <c:pt idx="21">
                  <c:v>主题演讲管理</c:v>
                </c:pt>
                <c:pt idx="22">
                  <c:v>分论坛协调</c:v>
                </c:pt>
                <c:pt idx="23">
                  <c:v>技术展示区管理</c:v>
                </c:pt>
                <c:pt idx="24">
                  <c:v>学生交流活动协调</c:v>
                </c:pt>
                <c:pt idx="25">
                  <c:v>闭幕式主持</c:v>
                </c:pt>
                <c:pt idx="26">
                  <c:v>论坛纪要编写</c:v>
                </c:pt>
                <c:pt idx="27">
                  <c:v>合作意向汇总报告</c:v>
                </c:pt>
                <c:pt idx="28">
                  <c:v>活动总结报告</c:v>
                </c:pt>
                <c:pt idx="29">
                  <c:v>预算执行报告</c:v>
                </c:pt>
                <c:pt idx="30">
                  <c:v>应急报告编写</c:v>
                </c:pt>
                <c:pt idx="31">
                  <c:v>预算制定</c:v>
                </c:pt>
                <c:pt idx="32">
                  <c:v>应急资金管理</c:v>
                </c:pt>
              </c:strCache>
            </c:strRef>
          </c:cat>
          <c:val>
            <c:numRef>
              <c:f>Sheet1!$H$3:$H$35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0.5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0.5</c:v>
                </c:pt>
                <c:pt idx="26">
                  <c:v>3</c:v>
                </c:pt>
                <c:pt idx="27">
                  <c:v>5</c:v>
                </c:pt>
                <c:pt idx="28">
                  <c:v>5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4-4A65-94F2-4B422EAA5DA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Sheet1!$B$3:$B$35</c:f>
              <c:strCache>
                <c:ptCount val="33"/>
                <c:pt idx="0">
                  <c:v>主题与议题设计</c:v>
                </c:pt>
                <c:pt idx="1">
                  <c:v>日程编排</c:v>
                </c:pt>
                <c:pt idx="2">
                  <c:v>议程文档编写</c:v>
                </c:pt>
                <c:pt idx="3">
                  <c:v>嘉宾名单确定</c:v>
                </c:pt>
                <c:pt idx="4">
                  <c:v>嘉宾邀请与确认</c:v>
                </c:pt>
                <c:pt idx="5">
                  <c:v>嘉宾行程安排</c:v>
                </c:pt>
                <c:pt idx="6">
                  <c:v>嘉宾费用支付</c:v>
                </c:pt>
                <c:pt idx="7">
                  <c:v>宣传材料策划与设计</c:v>
                </c:pt>
                <c:pt idx="8">
                  <c:v>宣传渠道确定</c:v>
                </c:pt>
                <c:pt idx="9">
                  <c:v>宣传材料投放</c:v>
                </c:pt>
                <c:pt idx="10">
                  <c:v>报名管理</c:v>
                </c:pt>
                <c:pt idx="11">
                  <c:v>线上平台选择与采购</c:v>
                </c:pt>
                <c:pt idx="12">
                  <c:v>线上平台搭建与测试</c:v>
                </c:pt>
                <c:pt idx="13">
                  <c:v>线下场地租赁</c:v>
                </c:pt>
                <c:pt idx="14">
                  <c:v>线下场地布置规划</c:v>
                </c:pt>
                <c:pt idx="15">
                  <c:v>设备租赁与调试</c:v>
                </c:pt>
                <c:pt idx="16">
                  <c:v>技术展示企业招募</c:v>
                </c:pt>
                <c:pt idx="17">
                  <c:v>学生项目征集与选拔</c:v>
                </c:pt>
                <c:pt idx="18">
                  <c:v>展示与交流活动流程设计</c:v>
                </c:pt>
                <c:pt idx="19">
                  <c:v>现场注册与接待</c:v>
                </c:pt>
                <c:pt idx="20">
                  <c:v>开幕式主持</c:v>
                </c:pt>
                <c:pt idx="21">
                  <c:v>主题演讲管理</c:v>
                </c:pt>
                <c:pt idx="22">
                  <c:v>分论坛协调</c:v>
                </c:pt>
                <c:pt idx="23">
                  <c:v>技术展示区管理</c:v>
                </c:pt>
                <c:pt idx="24">
                  <c:v>学生交流活动协调</c:v>
                </c:pt>
                <c:pt idx="25">
                  <c:v>闭幕式主持</c:v>
                </c:pt>
                <c:pt idx="26">
                  <c:v>论坛纪要编写</c:v>
                </c:pt>
                <c:pt idx="27">
                  <c:v>合作意向汇总报告</c:v>
                </c:pt>
                <c:pt idx="28">
                  <c:v>活动总结报告</c:v>
                </c:pt>
                <c:pt idx="29">
                  <c:v>预算执行报告</c:v>
                </c:pt>
                <c:pt idx="30">
                  <c:v>应急报告编写</c:v>
                </c:pt>
                <c:pt idx="31">
                  <c:v>预算制定</c:v>
                </c:pt>
                <c:pt idx="32">
                  <c:v>应急资金管理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4-4A65-94F2-4B422EAA5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9639311"/>
        <c:axId val="1969640751"/>
      </c:barChart>
      <c:catAx>
        <c:axId val="19696393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9640751"/>
        <c:crosses val="autoZero"/>
        <c:auto val="1"/>
        <c:lblAlgn val="ctr"/>
        <c:lblOffset val="100"/>
        <c:noMultiLvlLbl val="0"/>
      </c:catAx>
      <c:valAx>
        <c:axId val="1969640751"/>
        <c:scaling>
          <c:orientation val="minMax"/>
          <c:max val="45630"/>
          <c:min val="4556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9639311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1800000"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366175</xdr:colOff>
      <xdr:row>6</xdr:row>
      <xdr:rowOff>116220</xdr:rowOff>
    </xdr:from>
    <xdr:to>
      <xdr:col>36</xdr:col>
      <xdr:colOff>332656</xdr:colOff>
      <xdr:row>31</xdr:row>
      <xdr:rowOff>99574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4444125" y="2040270"/>
          <a:ext cx="8500881" cy="9870304"/>
          <a:chOff x="6135122" y="224757"/>
          <a:chExt cx="8495278" cy="9968116"/>
        </a:xfrm>
      </xdr:grpSpPr>
      <xdr:graphicFrame macro="">
        <xdr:nvGraphicFramePr>
          <xdr:cNvPr id="4" name="图表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aphicFramePr/>
        </xdr:nvGraphicFramePr>
        <xdr:xfrm>
          <a:off x="6135122" y="224757"/>
          <a:ext cx="8330837" cy="95217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1" name="组合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9852212" y="5459506"/>
            <a:ext cx="4778188" cy="4733367"/>
            <a:chOff x="9852212" y="5459506"/>
            <a:chExt cx="4778188" cy="4733367"/>
          </a:xfrm>
        </xdr:grpSpPr>
        <xdr:sp macro="" textlink="">
          <xdr:nvSpPr>
            <xdr:cNvPr id="5" name="文本框 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9852212" y="5459506"/>
              <a:ext cx="1963270" cy="896471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zh-CN" altLang="en-US" sz="1400" kern="1200">
                  <a:solidFill>
                    <a:srgbClr val="FF0000"/>
                  </a:solidFill>
                </a:rPr>
                <a:t>活动前筹备工作结束</a:t>
              </a:r>
            </a:p>
          </xdr:txBody>
        </xdr:sp>
        <xdr:grpSp>
          <xdr:nvGrpSpPr>
            <xdr:cNvPr id="10" name="组合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12416117" y="7377954"/>
              <a:ext cx="2214283" cy="2814919"/>
              <a:chOff x="12416117" y="7377954"/>
              <a:chExt cx="2214283" cy="2814919"/>
            </a:xfrm>
          </xdr:grpSpPr>
          <xdr:sp macro="" textlink="">
            <xdr:nvSpPr>
              <xdr:cNvPr id="6" name="文本框 1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 txBox="1"/>
            </xdr:nvSpPr>
            <xdr:spPr>
              <a:xfrm>
                <a:off x="12416117" y="7377954"/>
                <a:ext cx="1658471" cy="896471"/>
              </a:xfrm>
              <a:prstGeom prst="rect">
                <a:avLst/>
              </a:prstGeom>
            </xdr:spPr>
            <xdr:txBody>
              <a:bodyPr wrap="square" rtlCol="0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zh-CN" altLang="en-US" sz="1400" kern="1200">
                    <a:solidFill>
                      <a:srgbClr val="FF0000"/>
                    </a:solidFill>
                  </a:rPr>
                  <a:t>活动现场执行完成</a:t>
                </a:r>
              </a:p>
            </xdr:txBody>
          </xdr:sp>
          <xdr:sp macro="" textlink="">
            <xdr:nvSpPr>
              <xdr:cNvPr id="7" name="文本框 1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12568517" y="8758519"/>
                <a:ext cx="1658471" cy="896471"/>
              </a:xfrm>
              <a:prstGeom prst="rect">
                <a:avLst/>
              </a:prstGeom>
            </xdr:spPr>
            <xdr:txBody>
              <a:bodyPr wrap="square" rtlCol="0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zh-CN" altLang="en-US" sz="1400" kern="1200">
                    <a:solidFill>
                      <a:srgbClr val="FF0000"/>
                    </a:solidFill>
                  </a:rPr>
                  <a:t>活动总结与报告</a:t>
                </a:r>
              </a:p>
            </xdr:txBody>
          </xdr:sp>
          <xdr:sp macro="" textlink="">
            <xdr:nvSpPr>
              <xdr:cNvPr id="8" name="文本框 1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 txBox="1"/>
            </xdr:nvSpPr>
            <xdr:spPr>
              <a:xfrm>
                <a:off x="12756776" y="9296402"/>
                <a:ext cx="1873624" cy="896471"/>
              </a:xfrm>
              <a:prstGeom prst="rect">
                <a:avLst/>
              </a:prstGeom>
            </xdr:spPr>
            <xdr:txBody>
              <a:bodyPr wrap="square" rtlCol="0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zh-CN" altLang="en-US" sz="1400" kern="1200">
                    <a:solidFill>
                      <a:srgbClr val="FF0000"/>
                    </a:solidFill>
                  </a:rPr>
                  <a:t>预算与资金管理闭环</a:t>
                </a:r>
              </a:p>
            </xdr:txBody>
          </xdr:sp>
        </xdr:grpSp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0.29768</cdr:x>
      <cdr:y>0.04795</cdr:y>
    </cdr:from>
    <cdr:to>
      <cdr:x>0.40745</cdr:x>
      <cdr:y>0.14398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67D6DBBD-A3E0-3DF4-1902-2EFBAD182432}"/>
            </a:ext>
          </a:extLst>
        </cdr:cNvPr>
        <cdr:cNvSpPr txBox="1"/>
      </cdr:nvSpPr>
      <cdr:spPr>
        <a:xfrm xmlns:a="http://schemas.openxmlformats.org/drawingml/2006/main">
          <a:off x="2479959" y="45656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0.43327</cdr:x>
      <cdr:y>0.10444</cdr:y>
    </cdr:from>
    <cdr:to>
      <cdr:x>0.54303</cdr:x>
      <cdr:y>0.20047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83D86434-FA02-0823-ECFA-862B55EA7052}"/>
            </a:ext>
          </a:extLst>
        </cdr:cNvPr>
        <cdr:cNvSpPr txBox="1"/>
      </cdr:nvSpPr>
      <cdr:spPr>
        <a:xfrm xmlns:a="http://schemas.openxmlformats.org/drawingml/2006/main">
          <a:off x="3609512" y="99444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0.37624</cdr:x>
      <cdr:y>0.08373</cdr:y>
    </cdr:from>
    <cdr:to>
      <cdr:x>0.4903</cdr:x>
      <cdr:y>0.17787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AF847C9E-C839-FA86-2B47-5BF40CB836B1}"/>
            </a:ext>
          </a:extLst>
        </cdr:cNvPr>
        <cdr:cNvSpPr txBox="1"/>
      </cdr:nvSpPr>
      <cdr:spPr>
        <a:xfrm xmlns:a="http://schemas.openxmlformats.org/drawingml/2006/main">
          <a:off x="3134381" y="797218"/>
          <a:ext cx="950259" cy="8964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1400" kern="1200">
              <a:solidFill>
                <a:srgbClr val="FF0000"/>
              </a:solidFill>
            </a:rPr>
            <a:t>项目规划完成</a:t>
          </a:r>
        </a:p>
      </cdr:txBody>
    </cdr:sp>
  </cdr:relSizeAnchor>
  <cdr:relSizeAnchor xmlns:cdr="http://schemas.openxmlformats.org/drawingml/2006/chartDrawing">
    <cdr:from>
      <cdr:x>0.4828</cdr:x>
      <cdr:y>0.20117</cdr:y>
    </cdr:from>
    <cdr:to>
      <cdr:x>0.59687</cdr:x>
      <cdr:y>0.29532</cdr:y>
    </cdr:to>
    <cdr:sp macro="" textlink="">
      <cdr:nvSpPr>
        <cdr:cNvPr id="5" name="文本框 1">
          <a:extLst xmlns:a="http://schemas.openxmlformats.org/drawingml/2006/main">
            <a:ext uri="{FF2B5EF4-FFF2-40B4-BE49-F238E27FC236}">
              <a16:creationId xmlns:a16="http://schemas.microsoft.com/office/drawing/2014/main" id="{9A61418D-0A4D-429F-E8D9-0D81C1F36DC2}"/>
            </a:ext>
          </a:extLst>
        </cdr:cNvPr>
        <cdr:cNvSpPr txBox="1"/>
      </cdr:nvSpPr>
      <cdr:spPr>
        <a:xfrm xmlns:a="http://schemas.openxmlformats.org/drawingml/2006/main">
          <a:off x="4022165" y="1915459"/>
          <a:ext cx="950259" cy="8964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400" kern="1200">
              <a:solidFill>
                <a:srgbClr val="FF0000"/>
              </a:solidFill>
            </a:rPr>
            <a:t>嘉宾邀请事宜完成</a:t>
          </a:r>
        </a:p>
      </cdr:txBody>
    </cdr:sp>
  </cdr:relSizeAnchor>
  <cdr:relSizeAnchor xmlns:cdr="http://schemas.openxmlformats.org/drawingml/2006/chartDrawing">
    <cdr:from>
      <cdr:x>0.63668</cdr:x>
      <cdr:y>0.31697</cdr:y>
    </cdr:from>
    <cdr:to>
      <cdr:x>0.75075</cdr:x>
      <cdr:y>0.41112</cdr:y>
    </cdr:to>
    <cdr:sp macro="" textlink="">
      <cdr:nvSpPr>
        <cdr:cNvPr id="6" name="文本框 1">
          <a:extLst xmlns:a="http://schemas.openxmlformats.org/drawingml/2006/main">
            <a:ext uri="{FF2B5EF4-FFF2-40B4-BE49-F238E27FC236}">
              <a16:creationId xmlns:a16="http://schemas.microsoft.com/office/drawing/2014/main" id="{9A61418D-0A4D-429F-E8D9-0D81C1F36DC2}"/>
            </a:ext>
          </a:extLst>
        </cdr:cNvPr>
        <cdr:cNvSpPr txBox="1"/>
      </cdr:nvSpPr>
      <cdr:spPr>
        <a:xfrm xmlns:a="http://schemas.openxmlformats.org/drawingml/2006/main">
          <a:off x="5304118" y="3018118"/>
          <a:ext cx="950259" cy="8964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400" kern="1200">
              <a:solidFill>
                <a:srgbClr val="FF0000"/>
              </a:solidFill>
            </a:rPr>
            <a:t>宣传与报名工作完成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40" zoomScaleNormal="40" workbookViewId="0">
      <selection activeCell="AB5" sqref="AB5"/>
    </sheetView>
  </sheetViews>
  <sheetFormatPr defaultRowHeight="13.8" x14ac:dyDescent="0.25"/>
  <cols>
    <col min="6" max="6" width="15" style="11" bestFit="1" customWidth="1"/>
    <col min="13" max="13" width="12.44140625" bestFit="1" customWidth="1"/>
  </cols>
  <sheetData>
    <row r="1" spans="1:13" ht="14.4" thickBot="1" x14ac:dyDescent="0.3">
      <c r="A1" s="1"/>
    </row>
    <row r="2" spans="1:13" ht="28.2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13" t="s">
        <v>84</v>
      </c>
      <c r="G2" s="14" t="s">
        <v>85</v>
      </c>
      <c r="H2" s="14" t="s">
        <v>86</v>
      </c>
      <c r="M2">
        <v>45566</v>
      </c>
    </row>
    <row r="3" spans="1:13" ht="27.6" x14ac:dyDescent="0.25">
      <c r="A3" s="7" t="s">
        <v>7</v>
      </c>
      <c r="B3" s="5" t="s">
        <v>8</v>
      </c>
      <c r="C3" s="5" t="s">
        <v>9</v>
      </c>
      <c r="D3" s="5">
        <v>7</v>
      </c>
      <c r="E3" s="6" t="s">
        <v>6</v>
      </c>
      <c r="F3" s="11">
        <v>45566</v>
      </c>
      <c r="G3">
        <f>IF(45597-F3&gt;D3,D3,MIN(D3,MAX(45597-F3,0)))</f>
        <v>7</v>
      </c>
      <c r="H3">
        <f>D3-G3</f>
        <v>0</v>
      </c>
      <c r="M3">
        <v>45597</v>
      </c>
    </row>
    <row r="4" spans="1:13" ht="27.6" x14ac:dyDescent="0.25">
      <c r="A4" s="7" t="s">
        <v>10</v>
      </c>
      <c r="B4" s="5" t="s">
        <v>11</v>
      </c>
      <c r="C4" s="5" t="s">
        <v>9</v>
      </c>
      <c r="D4" s="5">
        <v>5</v>
      </c>
      <c r="E4" s="6" t="s">
        <v>7</v>
      </c>
      <c r="F4" s="11">
        <v>45572</v>
      </c>
      <c r="G4">
        <f t="shared" ref="G4:G35" si="0">IF(45597-F4&gt;D4,D4,MIN(D4,MAX(45597-F4,0)))</f>
        <v>5</v>
      </c>
      <c r="H4">
        <f t="shared" ref="H4:H35" si="1">D4-G4</f>
        <v>0</v>
      </c>
      <c r="M4">
        <v>45616</v>
      </c>
    </row>
    <row r="5" spans="1:13" ht="27.6" x14ac:dyDescent="0.25">
      <c r="A5" s="7" t="s">
        <v>12</v>
      </c>
      <c r="B5" s="5" t="s">
        <v>13</v>
      </c>
      <c r="C5" s="5" t="s">
        <v>9</v>
      </c>
      <c r="D5" s="5">
        <v>3</v>
      </c>
      <c r="E5" s="6" t="s">
        <v>10</v>
      </c>
      <c r="F5" s="12">
        <v>45576</v>
      </c>
      <c r="G5">
        <f t="shared" si="0"/>
        <v>3</v>
      </c>
      <c r="H5">
        <f t="shared" si="1"/>
        <v>0</v>
      </c>
    </row>
    <row r="6" spans="1:13" ht="27.6" x14ac:dyDescent="0.25">
      <c r="A6" s="7" t="s">
        <v>15</v>
      </c>
      <c r="B6" s="5" t="s">
        <v>16</v>
      </c>
      <c r="C6" s="5" t="s">
        <v>14</v>
      </c>
      <c r="D6" s="5">
        <v>5</v>
      </c>
      <c r="E6" s="6" t="s">
        <v>7</v>
      </c>
      <c r="F6" s="12">
        <v>45572</v>
      </c>
      <c r="G6">
        <f t="shared" si="0"/>
        <v>5</v>
      </c>
      <c r="H6">
        <f t="shared" si="1"/>
        <v>0</v>
      </c>
    </row>
    <row r="7" spans="1:13" ht="27.6" x14ac:dyDescent="0.25">
      <c r="A7" s="7" t="s">
        <v>17</v>
      </c>
      <c r="B7" s="5" t="s">
        <v>18</v>
      </c>
      <c r="C7" s="5" t="s">
        <v>14</v>
      </c>
      <c r="D7" s="5">
        <v>10</v>
      </c>
      <c r="E7" s="6" t="s">
        <v>15</v>
      </c>
      <c r="F7" s="11">
        <v>45576</v>
      </c>
      <c r="G7">
        <f t="shared" si="0"/>
        <v>10</v>
      </c>
      <c r="H7">
        <f t="shared" si="1"/>
        <v>0</v>
      </c>
    </row>
    <row r="8" spans="1:13" ht="27.6" x14ac:dyDescent="0.25">
      <c r="A8" s="7" t="s">
        <v>19</v>
      </c>
      <c r="B8" s="5" t="s">
        <v>20</v>
      </c>
      <c r="C8" s="5" t="s">
        <v>14</v>
      </c>
      <c r="D8" s="5">
        <v>7</v>
      </c>
      <c r="E8" s="6" t="s">
        <v>17</v>
      </c>
      <c r="F8" s="11">
        <v>45585</v>
      </c>
      <c r="G8">
        <f t="shared" si="0"/>
        <v>7</v>
      </c>
      <c r="H8">
        <f t="shared" si="1"/>
        <v>0</v>
      </c>
    </row>
    <row r="9" spans="1:13" ht="27.6" x14ac:dyDescent="0.25">
      <c r="A9" s="7" t="s">
        <v>21</v>
      </c>
      <c r="B9" s="5" t="s">
        <v>22</v>
      </c>
      <c r="C9" s="5" t="s">
        <v>23</v>
      </c>
      <c r="D9" s="5">
        <v>2</v>
      </c>
      <c r="E9" s="6" t="s">
        <v>17</v>
      </c>
      <c r="F9" s="12">
        <v>45585</v>
      </c>
      <c r="G9">
        <f t="shared" si="0"/>
        <v>2</v>
      </c>
      <c r="H9">
        <f t="shared" si="1"/>
        <v>0</v>
      </c>
    </row>
    <row r="10" spans="1:13" ht="41.4" x14ac:dyDescent="0.25">
      <c r="A10" s="7" t="s">
        <v>25</v>
      </c>
      <c r="B10" s="5" t="s">
        <v>26</v>
      </c>
      <c r="C10" s="5" t="s">
        <v>24</v>
      </c>
      <c r="D10" s="5">
        <v>7</v>
      </c>
      <c r="E10" s="6" t="s">
        <v>7</v>
      </c>
      <c r="F10" s="11">
        <v>45572</v>
      </c>
      <c r="G10">
        <f t="shared" si="0"/>
        <v>7</v>
      </c>
      <c r="H10">
        <f t="shared" si="1"/>
        <v>0</v>
      </c>
    </row>
    <row r="11" spans="1:13" ht="27.6" x14ac:dyDescent="0.25">
      <c r="A11" s="7" t="s">
        <v>27</v>
      </c>
      <c r="B11" s="5" t="s">
        <v>28</v>
      </c>
      <c r="C11" s="5" t="s">
        <v>24</v>
      </c>
      <c r="D11" s="5">
        <v>3</v>
      </c>
      <c r="E11" s="6" t="s">
        <v>25</v>
      </c>
      <c r="F11" s="11">
        <v>45578</v>
      </c>
      <c r="G11">
        <f t="shared" si="0"/>
        <v>3</v>
      </c>
      <c r="H11">
        <f t="shared" si="1"/>
        <v>0</v>
      </c>
    </row>
    <row r="12" spans="1:13" ht="27.6" x14ac:dyDescent="0.25">
      <c r="A12" s="7" t="s">
        <v>29</v>
      </c>
      <c r="B12" s="5" t="s">
        <v>30</v>
      </c>
      <c r="C12" s="5" t="s">
        <v>24</v>
      </c>
      <c r="D12" s="5">
        <v>14</v>
      </c>
      <c r="E12" s="6" t="s">
        <v>27</v>
      </c>
      <c r="F12" s="11">
        <v>45580</v>
      </c>
      <c r="G12">
        <f t="shared" si="0"/>
        <v>14</v>
      </c>
      <c r="H12">
        <f t="shared" si="1"/>
        <v>0</v>
      </c>
    </row>
    <row r="13" spans="1:13" ht="27.6" x14ac:dyDescent="0.25">
      <c r="A13" s="7" t="s">
        <v>31</v>
      </c>
      <c r="B13" s="5" t="s">
        <v>32</v>
      </c>
      <c r="C13" s="5" t="s">
        <v>24</v>
      </c>
      <c r="D13" s="5">
        <v>10</v>
      </c>
      <c r="E13" s="6" t="s">
        <v>29</v>
      </c>
      <c r="F13" s="11">
        <v>45593</v>
      </c>
      <c r="G13">
        <f t="shared" si="0"/>
        <v>4</v>
      </c>
      <c r="H13">
        <f t="shared" si="1"/>
        <v>6</v>
      </c>
    </row>
    <row r="14" spans="1:13" ht="41.4" x14ac:dyDescent="0.25">
      <c r="A14" s="7" t="s">
        <v>34</v>
      </c>
      <c r="B14" s="5" t="s">
        <v>35</v>
      </c>
      <c r="C14" s="5" t="s">
        <v>33</v>
      </c>
      <c r="D14" s="5">
        <v>5</v>
      </c>
      <c r="E14" s="6" t="s">
        <v>6</v>
      </c>
      <c r="F14" s="11">
        <v>45566</v>
      </c>
      <c r="G14">
        <f t="shared" si="0"/>
        <v>5</v>
      </c>
      <c r="H14">
        <f t="shared" si="1"/>
        <v>0</v>
      </c>
    </row>
    <row r="15" spans="1:13" ht="41.4" x14ac:dyDescent="0.25">
      <c r="A15" s="7" t="s">
        <v>36</v>
      </c>
      <c r="B15" s="5" t="s">
        <v>37</v>
      </c>
      <c r="C15" s="5" t="s">
        <v>33</v>
      </c>
      <c r="D15" s="5">
        <v>7</v>
      </c>
      <c r="E15" s="6" t="s">
        <v>34</v>
      </c>
      <c r="F15" s="11">
        <v>45570</v>
      </c>
      <c r="G15">
        <f t="shared" si="0"/>
        <v>7</v>
      </c>
      <c r="H15">
        <f t="shared" si="1"/>
        <v>0</v>
      </c>
    </row>
    <row r="16" spans="1:13" ht="27.6" x14ac:dyDescent="0.25">
      <c r="A16" s="7" t="s">
        <v>38</v>
      </c>
      <c r="B16" s="5" t="s">
        <v>39</v>
      </c>
      <c r="C16" s="5" t="s">
        <v>40</v>
      </c>
      <c r="D16" s="5">
        <v>5</v>
      </c>
      <c r="E16" s="6" t="s">
        <v>6</v>
      </c>
      <c r="F16" s="11">
        <v>45566</v>
      </c>
      <c r="G16">
        <f t="shared" si="0"/>
        <v>5</v>
      </c>
      <c r="H16">
        <f t="shared" si="1"/>
        <v>0</v>
      </c>
    </row>
    <row r="17" spans="1:8" ht="27.6" x14ac:dyDescent="0.25">
      <c r="A17" s="7" t="s">
        <v>41</v>
      </c>
      <c r="B17" s="5" t="s">
        <v>42</v>
      </c>
      <c r="C17" s="5" t="s">
        <v>40</v>
      </c>
      <c r="D17" s="5">
        <v>3</v>
      </c>
      <c r="E17" s="6" t="s">
        <v>38</v>
      </c>
      <c r="F17" s="12">
        <v>45570</v>
      </c>
      <c r="G17">
        <f t="shared" si="0"/>
        <v>3</v>
      </c>
      <c r="H17">
        <f t="shared" si="1"/>
        <v>0</v>
      </c>
    </row>
    <row r="18" spans="1:8" ht="27.6" x14ac:dyDescent="0.25">
      <c r="A18" s="7" t="s">
        <v>43</v>
      </c>
      <c r="B18" s="5" t="s">
        <v>44</v>
      </c>
      <c r="C18" s="5" t="s">
        <v>33</v>
      </c>
      <c r="D18" s="5">
        <v>5</v>
      </c>
      <c r="E18" s="6" t="s">
        <v>41</v>
      </c>
      <c r="F18" s="11">
        <v>45572</v>
      </c>
      <c r="G18">
        <f t="shared" si="0"/>
        <v>5</v>
      </c>
      <c r="H18">
        <f t="shared" si="1"/>
        <v>0</v>
      </c>
    </row>
    <row r="19" spans="1:8" ht="27.6" x14ac:dyDescent="0.25">
      <c r="A19" s="7" t="s">
        <v>45</v>
      </c>
      <c r="B19" s="5" t="s">
        <v>46</v>
      </c>
      <c r="C19" s="5" t="s">
        <v>40</v>
      </c>
      <c r="D19" s="5">
        <v>10</v>
      </c>
      <c r="E19" s="6" t="s">
        <v>7</v>
      </c>
      <c r="F19" s="11">
        <v>45572</v>
      </c>
      <c r="G19">
        <f t="shared" si="0"/>
        <v>10</v>
      </c>
      <c r="H19">
        <f t="shared" si="1"/>
        <v>0</v>
      </c>
    </row>
    <row r="20" spans="1:8" ht="41.4" x14ac:dyDescent="0.25">
      <c r="A20" s="7" t="s">
        <v>47</v>
      </c>
      <c r="B20" s="5" t="s">
        <v>48</v>
      </c>
      <c r="C20" s="5" t="s">
        <v>40</v>
      </c>
      <c r="D20" s="5">
        <v>10</v>
      </c>
      <c r="E20" s="6" t="s">
        <v>7</v>
      </c>
      <c r="F20" s="11">
        <v>45572</v>
      </c>
      <c r="G20">
        <f t="shared" si="0"/>
        <v>10</v>
      </c>
      <c r="H20">
        <f t="shared" si="1"/>
        <v>0</v>
      </c>
    </row>
    <row r="21" spans="1:8" ht="41.4" x14ac:dyDescent="0.25">
      <c r="A21" s="7" t="s">
        <v>49</v>
      </c>
      <c r="B21" s="5" t="s">
        <v>50</v>
      </c>
      <c r="C21" s="5" t="s">
        <v>40</v>
      </c>
      <c r="D21" s="5">
        <v>5</v>
      </c>
      <c r="E21" s="6" t="s">
        <v>51</v>
      </c>
      <c r="F21" s="11">
        <v>45581</v>
      </c>
      <c r="G21">
        <f t="shared" si="0"/>
        <v>5</v>
      </c>
      <c r="H21">
        <f t="shared" si="1"/>
        <v>0</v>
      </c>
    </row>
    <row r="22" spans="1:8" ht="55.2" x14ac:dyDescent="0.25">
      <c r="A22" s="7" t="s">
        <v>52</v>
      </c>
      <c r="B22" s="5" t="s">
        <v>53</v>
      </c>
      <c r="C22" s="5" t="s">
        <v>40</v>
      </c>
      <c r="D22" s="5">
        <v>1</v>
      </c>
      <c r="E22" s="6" t="s">
        <v>54</v>
      </c>
      <c r="F22" s="11">
        <v>45602</v>
      </c>
      <c r="G22">
        <f t="shared" si="0"/>
        <v>0</v>
      </c>
      <c r="H22">
        <f t="shared" si="1"/>
        <v>1</v>
      </c>
    </row>
    <row r="23" spans="1:8" ht="27.6" x14ac:dyDescent="0.25">
      <c r="A23" s="7" t="s">
        <v>55</v>
      </c>
      <c r="B23" s="5" t="s">
        <v>56</v>
      </c>
      <c r="C23" s="5" t="s">
        <v>57</v>
      </c>
      <c r="D23" s="5">
        <v>0.5</v>
      </c>
      <c r="E23" s="6" t="s">
        <v>52</v>
      </c>
      <c r="F23" s="11">
        <v>45603</v>
      </c>
      <c r="G23">
        <f t="shared" si="0"/>
        <v>0</v>
      </c>
      <c r="H23">
        <f t="shared" si="1"/>
        <v>0.5</v>
      </c>
    </row>
    <row r="24" spans="1:8" ht="27.6" x14ac:dyDescent="0.25">
      <c r="A24" s="7" t="s">
        <v>58</v>
      </c>
      <c r="B24" s="5" t="s">
        <v>59</v>
      </c>
      <c r="C24" s="5" t="s">
        <v>40</v>
      </c>
      <c r="D24" s="5">
        <v>1</v>
      </c>
      <c r="E24" s="6" t="s">
        <v>55</v>
      </c>
      <c r="F24" s="11">
        <v>45604</v>
      </c>
      <c r="G24">
        <f t="shared" si="0"/>
        <v>0</v>
      </c>
      <c r="H24">
        <f t="shared" si="1"/>
        <v>1</v>
      </c>
    </row>
    <row r="25" spans="1:8" ht="27.6" x14ac:dyDescent="0.25">
      <c r="A25" s="7" t="s">
        <v>60</v>
      </c>
      <c r="B25" s="5" t="s">
        <v>61</v>
      </c>
      <c r="C25" s="5" t="s">
        <v>62</v>
      </c>
      <c r="D25" s="5">
        <v>1</v>
      </c>
      <c r="E25" s="6" t="s">
        <v>58</v>
      </c>
      <c r="F25" s="11">
        <v>45605</v>
      </c>
      <c r="G25">
        <f t="shared" si="0"/>
        <v>0</v>
      </c>
      <c r="H25">
        <f t="shared" si="1"/>
        <v>1</v>
      </c>
    </row>
    <row r="26" spans="1:8" ht="27.6" x14ac:dyDescent="0.25">
      <c r="A26" s="7" t="s">
        <v>63</v>
      </c>
      <c r="B26" s="5" t="s">
        <v>64</v>
      </c>
      <c r="C26" s="5" t="s">
        <v>33</v>
      </c>
      <c r="D26" s="5">
        <v>1</v>
      </c>
      <c r="E26" s="6" t="s">
        <v>60</v>
      </c>
      <c r="F26" s="11">
        <v>45606</v>
      </c>
      <c r="G26">
        <f t="shared" si="0"/>
        <v>0</v>
      </c>
      <c r="H26">
        <f t="shared" si="1"/>
        <v>1</v>
      </c>
    </row>
    <row r="27" spans="1:8" ht="27.6" x14ac:dyDescent="0.25">
      <c r="A27" s="7" t="s">
        <v>65</v>
      </c>
      <c r="B27" s="5" t="s">
        <v>66</v>
      </c>
      <c r="C27" s="5" t="s">
        <v>40</v>
      </c>
      <c r="D27" s="5">
        <v>1</v>
      </c>
      <c r="E27" s="6" t="s">
        <v>63</v>
      </c>
      <c r="F27" s="11">
        <v>45607</v>
      </c>
      <c r="G27">
        <f t="shared" si="0"/>
        <v>0</v>
      </c>
      <c r="H27">
        <f t="shared" si="1"/>
        <v>1</v>
      </c>
    </row>
    <row r="28" spans="1:8" ht="27.6" x14ac:dyDescent="0.25">
      <c r="A28" s="7" t="s">
        <v>67</v>
      </c>
      <c r="B28" s="5" t="s">
        <v>68</v>
      </c>
      <c r="C28" s="5" t="s">
        <v>57</v>
      </c>
      <c r="D28" s="5">
        <v>0.5</v>
      </c>
      <c r="E28" s="6" t="s">
        <v>65</v>
      </c>
      <c r="F28" s="11">
        <v>45608</v>
      </c>
      <c r="G28">
        <f t="shared" si="0"/>
        <v>0</v>
      </c>
      <c r="H28">
        <f t="shared" si="1"/>
        <v>0.5</v>
      </c>
    </row>
    <row r="29" spans="1:8" ht="27.6" x14ac:dyDescent="0.25">
      <c r="A29" s="7" t="s">
        <v>69</v>
      </c>
      <c r="B29" s="5" t="s">
        <v>70</v>
      </c>
      <c r="C29" s="5" t="s">
        <v>9</v>
      </c>
      <c r="D29" s="5">
        <v>3</v>
      </c>
      <c r="E29" s="6" t="s">
        <v>67</v>
      </c>
      <c r="F29" s="11">
        <v>45609</v>
      </c>
      <c r="G29">
        <f t="shared" si="0"/>
        <v>0</v>
      </c>
      <c r="H29">
        <f t="shared" si="1"/>
        <v>3</v>
      </c>
    </row>
    <row r="30" spans="1:8" ht="27.6" x14ac:dyDescent="0.25">
      <c r="A30" s="7" t="s">
        <v>71</v>
      </c>
      <c r="B30" s="5" t="s">
        <v>72</v>
      </c>
      <c r="C30" s="5" t="s">
        <v>5</v>
      </c>
      <c r="D30" s="5">
        <v>5</v>
      </c>
      <c r="E30" s="6" t="s">
        <v>67</v>
      </c>
      <c r="F30" s="11">
        <v>45609</v>
      </c>
      <c r="G30">
        <f t="shared" si="0"/>
        <v>0</v>
      </c>
      <c r="H30">
        <f t="shared" si="1"/>
        <v>5</v>
      </c>
    </row>
    <row r="31" spans="1:8" ht="27.6" x14ac:dyDescent="0.25">
      <c r="A31" s="7" t="s">
        <v>73</v>
      </c>
      <c r="B31" s="5" t="s">
        <v>74</v>
      </c>
      <c r="C31" s="5" t="s">
        <v>5</v>
      </c>
      <c r="D31" s="5">
        <v>5</v>
      </c>
      <c r="E31" s="6" t="s">
        <v>75</v>
      </c>
      <c r="F31" s="11">
        <v>45611</v>
      </c>
      <c r="G31">
        <f t="shared" si="0"/>
        <v>0</v>
      </c>
      <c r="H31">
        <f t="shared" si="1"/>
        <v>5</v>
      </c>
    </row>
    <row r="32" spans="1:8" ht="27.6" x14ac:dyDescent="0.25">
      <c r="A32" s="7" t="s">
        <v>76</v>
      </c>
      <c r="B32" s="5" t="s">
        <v>77</v>
      </c>
      <c r="C32" s="5" t="s">
        <v>23</v>
      </c>
      <c r="D32" s="5">
        <v>3</v>
      </c>
      <c r="E32" s="6" t="s">
        <v>67</v>
      </c>
      <c r="F32" s="11">
        <v>45609</v>
      </c>
      <c r="G32">
        <f t="shared" si="0"/>
        <v>0</v>
      </c>
      <c r="H32">
        <f t="shared" si="1"/>
        <v>3</v>
      </c>
    </row>
    <row r="33" spans="1:8" ht="27.6" x14ac:dyDescent="0.25">
      <c r="A33" s="7" t="s">
        <v>78</v>
      </c>
      <c r="B33" s="5" t="s">
        <v>79</v>
      </c>
      <c r="C33" s="5" t="s">
        <v>5</v>
      </c>
      <c r="D33" s="5">
        <v>2</v>
      </c>
      <c r="E33" s="6" t="s">
        <v>67</v>
      </c>
      <c r="F33" s="11">
        <v>45609</v>
      </c>
      <c r="G33">
        <f t="shared" si="0"/>
        <v>0</v>
      </c>
      <c r="H33">
        <f t="shared" si="1"/>
        <v>2</v>
      </c>
    </row>
    <row r="34" spans="1:8" ht="27.6" x14ac:dyDescent="0.25">
      <c r="A34" s="7" t="s">
        <v>80</v>
      </c>
      <c r="B34" s="5" t="s">
        <v>81</v>
      </c>
      <c r="C34" s="5" t="s">
        <v>23</v>
      </c>
      <c r="D34" s="5">
        <v>5</v>
      </c>
      <c r="E34" s="6" t="s">
        <v>7</v>
      </c>
      <c r="F34" s="11">
        <v>45572</v>
      </c>
      <c r="G34">
        <f t="shared" si="0"/>
        <v>5</v>
      </c>
      <c r="H34">
        <f t="shared" si="1"/>
        <v>0</v>
      </c>
    </row>
    <row r="35" spans="1:8" ht="28.2" thickBot="1" x14ac:dyDescent="0.3">
      <c r="A35" s="8" t="s">
        <v>82</v>
      </c>
      <c r="B35" s="9" t="s">
        <v>83</v>
      </c>
      <c r="C35" s="9" t="s">
        <v>5</v>
      </c>
      <c r="D35" s="9">
        <v>42</v>
      </c>
      <c r="E35" s="10" t="s">
        <v>80</v>
      </c>
      <c r="F35" s="11">
        <v>45576</v>
      </c>
      <c r="G35">
        <f t="shared" si="0"/>
        <v>21</v>
      </c>
      <c r="H35">
        <f t="shared" si="1"/>
        <v>21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929891779@qq.com</cp:lastModifiedBy>
  <dcterms:created xsi:type="dcterms:W3CDTF">2015-06-05T18:19:34Z</dcterms:created>
  <dcterms:modified xsi:type="dcterms:W3CDTF">2025-10-24T09:45:18Z</dcterms:modified>
</cp:coreProperties>
</file>